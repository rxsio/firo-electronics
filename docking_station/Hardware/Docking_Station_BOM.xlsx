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04"/>
  <workbookPr/>
  <xr:revisionPtr revIDLastSave="0" documentId="8_{D2EDB499-905F-4B72-BEED-C52D71EFD15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3" i="1"/>
  <c r="F14" i="1"/>
  <c r="F15" i="1"/>
  <c r="F3" i="1"/>
  <c r="F4" i="1"/>
  <c r="F5" i="1"/>
  <c r="F6" i="1"/>
  <c r="F7" i="1"/>
  <c r="F8" i="1"/>
  <c r="F9" i="1"/>
  <c r="F10" i="1"/>
  <c r="F11" i="1"/>
  <c r="F12" i="1"/>
  <c r="F2" i="1"/>
</calcChain>
</file>

<file path=xl/sharedStrings.xml><?xml version="1.0" encoding="utf-8"?>
<sst xmlns="http://schemas.openxmlformats.org/spreadsheetml/2006/main" count="63" uniqueCount="49">
  <si>
    <t>Name</t>
  </si>
  <si>
    <t>Category</t>
  </si>
  <si>
    <t>Link</t>
  </si>
  <si>
    <t>Listed price</t>
  </si>
  <si>
    <t>Count</t>
  </si>
  <si>
    <t>Total price</t>
  </si>
  <si>
    <t xml:space="preserve"> VISHAY SIDR392DP-T1-GE3</t>
  </si>
  <si>
    <t>N-Channel Enchancement-Mode MOSFET</t>
  </si>
  <si>
    <t>https://de.farnell.com/en-DE/vishay/sidr392dp-t1-ge3/mosfet-n-ch-30v-100a-150deg-c/dp/2932895</t>
  </si>
  <si>
    <t>€</t>
  </si>
  <si>
    <t>MICROCHIP DN2540N8-G</t>
  </si>
  <si>
    <t>N-Channel Depletion-Mode MOSFET</t>
  </si>
  <si>
    <t>https://de.farnell.com/en-DE/microchip/dn2540n8-g/mosfet-n-ch-0-17a-400v-sot-89/dp/2809942</t>
  </si>
  <si>
    <t>VISHAY VOM1271T</t>
  </si>
  <si>
    <t>Photovoltaic MOSFET Driver</t>
  </si>
  <si>
    <t>https://de.farnell.com/en-DE/vishay/vom1271t/mosfet-relay-8-4v-0-01a-smd/dp/2395899</t>
  </si>
  <si>
    <t>STMICROELECTRONICS L78L05ABUTR</t>
  </si>
  <si>
    <t>Fixed Linear Voltage Regulator, 7805</t>
  </si>
  <si>
    <t>https://de.farnell.com/en-DE/stmicroelectronics/l78l05abutr/ic-v-reg-5v-smd/dp/1467762</t>
  </si>
  <si>
    <t>ALLEGRO MICROSYSTEMS ACS712ELCTR-20A-T</t>
  </si>
  <si>
    <t>Linear Current Sensor, Hall Effect, +/- 20A</t>
  </si>
  <si>
    <t>https://de.farnell.com/en-DE/allegro-microsystems/acs712elctr-20a-t/sensor-current-20a-soic8/dp/1329624</t>
  </si>
  <si>
    <t>ANALOG DEVICES LTC4357HMS8#PBF</t>
  </si>
  <si>
    <t>Ideal Diode Controller</t>
  </si>
  <si>
    <t>https://de.farnell.com/en-DE/analog-devices/ltc4357hms8-pbf/ideal-diode-cntrl-ic-40-to-125deg/dp/4025538</t>
  </si>
  <si>
    <t>ONSEMI MMBD1205</t>
  </si>
  <si>
    <t>Small Signal Diode, Dual Common Anode</t>
  </si>
  <si>
    <t>https://de.farnell.com/en-DE/on-semiconductor/mmbd1205/diode-dual-com-anode-100v-sot/dp/1700897</t>
  </si>
  <si>
    <t>STMICROELECTRONICS LMV321IYLT</t>
  </si>
  <si>
    <t>Operational Amplifier, RRIO, 1 Channel</t>
  </si>
  <si>
    <t>https://de.farnell.com/en-DE/stmicroelectronics/lmv321iylt/opamp-1-3mhz-40-to-125deg-c/dp/3367313</t>
  </si>
  <si>
    <t>MICROCHIP MCP6561T-E/OT</t>
  </si>
  <si>
    <t>Analogue Comparator, PUSH-PULL</t>
  </si>
  <si>
    <t>https://de.farnell.com/en-DE/microchip/mcp6561t-e-ot/ic-op-amp-single-1-8v-5sot23/dp/1715874</t>
  </si>
  <si>
    <t>DIODES INC. 2N7002K-7</t>
  </si>
  <si>
    <t>Power MOSFET, N Channel, 300 mA, 2 ohm</t>
  </si>
  <si>
    <t>https://de.farnell.com/en-DE/diodes-inc/2n7002k-7/mosfet-n-ch-60v-0-3a-sot-23/dp/1713825</t>
  </si>
  <si>
    <t>BOURNS 3313J-1-203E</t>
  </si>
  <si>
    <t>Trimpot, Single Turn, Cermet, 20 kohm</t>
  </si>
  <si>
    <t>https://de.farnell.com/en-DE/bourns/3313j-1-203e/trimmer-20k-3mm/dp/1689902</t>
  </si>
  <si>
    <t>ROHM RB560VM-40TE-17</t>
  </si>
  <si>
    <t>Schottky Rectifier, 40 V, 500 mA, 640 mV</t>
  </si>
  <si>
    <t>https://de.farnell.com/en-DE/rohm/rb560vm-40te-17/schottky-diode-single-40v-0-5a/dp/3287332</t>
  </si>
  <si>
    <t>KEYSTONE 3587</t>
  </si>
  <si>
    <t>FUSE HOLDER, AUTO BLADE, SMT</t>
  </si>
  <si>
    <t>https://de.farnell.com/en-DE/keystone/3587/fuse-holder-auto-blade-smt/dp/2076511</t>
  </si>
  <si>
    <t>EATON BUSSMANN BK/ATM-20</t>
  </si>
  <si>
    <t>FUSE, BLADE, 20A, 32V, FAST ACTING</t>
  </si>
  <si>
    <t>https://de.farnell.com/en-DE/eaton-bussmann-series/bk-atm-20/fuse-blade-20a-32v-fast-acting/dp/2162477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</si>
</sst>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B3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1" fillId="2" borderId="0" xfId="1" applyFill="1"/>
    <xf numFmtId="164" fontId="0" fillId="2" borderId="0" xfId="0" applyNumberFormat="1" applyFill="1"/>
    <xf numFmtId="2" fontId="0" fillId="2" borderId="0" xfId="0" applyNumberFormat="1" applyFill="1"/>
    <xf numFmtId="2" fontId="2" fillId="3" borderId="0" xfId="0" applyNumberFormat="1" applyFont="1" applyFill="1"/>
  </cellXfs>
  <cellStyles count="2">
    <cellStyle name="Hyperlink" xfId="1" xr:uid="{00000000-000B-0000-0000-000008000000}"/>
    <cellStyle name="Normalny" xfId="0" builtinId="0"/>
  </cellStyles>
  <dxfs count="0"/>
  <tableStyles count="0" defaultTableStyle="TableStyleMedium2" defaultPivotStyle="PivotStyleMedium9"/>
  <colors>
    <mruColors>
      <color rgb="FFFF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.farnell.com/en-DE/stmicroelectronics/lmv321iylt/opamp-1-3mhz-40-to-125deg-c/dp/3367313" TargetMode="External"/><Relationship Id="rId13" Type="http://schemas.openxmlformats.org/officeDocument/2006/relationships/hyperlink" Target="https://de.farnell.com/en-DE/keystone/3587/fuse-holder-auto-blade-smt/dp/2076511" TargetMode="External"/><Relationship Id="rId3" Type="http://schemas.openxmlformats.org/officeDocument/2006/relationships/hyperlink" Target="https://de.farnell.com/en-DE/vishay/vom1271t/mosfet-relay-8-4v-0-01a-smd/dp/2395899" TargetMode="External"/><Relationship Id="rId7" Type="http://schemas.openxmlformats.org/officeDocument/2006/relationships/hyperlink" Target="https://de.farnell.com/en-DE/on-semiconductor/mmbd1205/diode-dual-com-anode-100v-sot/dp/1700897" TargetMode="External"/><Relationship Id="rId12" Type="http://schemas.openxmlformats.org/officeDocument/2006/relationships/hyperlink" Target="https://de.farnell.com/en-DE/rohm/rb560vm-40te-17/schottky-diode-single-40v-0-5a/dp/3287332" TargetMode="External"/><Relationship Id="rId2" Type="http://schemas.openxmlformats.org/officeDocument/2006/relationships/hyperlink" Target="https://de.farnell.com/en-DE/microchip/dn2540n8-g/mosfet-n-ch-0-17a-400v-sot-89/dp/2809942" TargetMode="External"/><Relationship Id="rId1" Type="http://schemas.openxmlformats.org/officeDocument/2006/relationships/hyperlink" Target="https://de.farnell.com/en-DE/vishay/sidr392dp-t1-ge3/mosfet-n-ch-30v-100a-150deg-c/dp/2932895" TargetMode="External"/><Relationship Id="rId6" Type="http://schemas.openxmlformats.org/officeDocument/2006/relationships/hyperlink" Target="https://de.farnell.com/en-DE/analog-devices/ltc4357hms8-pbf/ideal-diode-cntrl-ic-40-to-125deg/dp/4025538" TargetMode="External"/><Relationship Id="rId11" Type="http://schemas.openxmlformats.org/officeDocument/2006/relationships/hyperlink" Target="https://de.farnell.com/en-DE/bourns/3313j-1-203e/trimmer-20k-3mm/dp/1689902" TargetMode="External"/><Relationship Id="rId5" Type="http://schemas.openxmlformats.org/officeDocument/2006/relationships/hyperlink" Target="https://de.farnell.com/en-DE/allegro-microsystems/acs712elctr-20a-t/sensor-current-20a-soic8/dp/1329624" TargetMode="External"/><Relationship Id="rId10" Type="http://schemas.openxmlformats.org/officeDocument/2006/relationships/hyperlink" Target="https://de.farnell.com/en-DE/diodes-inc/2n7002k-7/mosfet-n-ch-60v-0-3a-sot-23/dp/1713825" TargetMode="External"/><Relationship Id="rId4" Type="http://schemas.openxmlformats.org/officeDocument/2006/relationships/hyperlink" Target="https://de.farnell.com/en-DE/stmicroelectronics/l78l05abutr/ic-v-reg-5v-smd/dp/1467762" TargetMode="External"/><Relationship Id="rId9" Type="http://schemas.openxmlformats.org/officeDocument/2006/relationships/hyperlink" Target="https://de.farnell.com/en-DE/microchip/mcp6561t-e-ot/ic-op-amp-single-1-8v-5sot23/dp/1715874" TargetMode="External"/><Relationship Id="rId14" Type="http://schemas.openxmlformats.org/officeDocument/2006/relationships/hyperlink" Target="https://de.farnell.com/en-DE/eaton-bussmann-series/bk-atm-20/fuse-blade-20a-32v-fast-acting/dp/21624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workbookViewId="0">
      <selection activeCell="F20" sqref="F20"/>
    </sheetView>
  </sheetViews>
  <sheetFormatPr defaultRowHeight="15"/>
  <cols>
    <col min="1" max="1" width="42.28515625" customWidth="1"/>
    <col min="2" max="2" width="37.7109375" customWidth="1"/>
    <col min="3" max="3" width="92" customWidth="1"/>
    <col min="4" max="4" width="12.85546875" customWidth="1"/>
    <col min="5" max="5" width="7.85546875" customWidth="1"/>
    <col min="6" max="6" width="13.57031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>
      <c r="A2" t="s">
        <v>6</v>
      </c>
      <c r="B2" t="s">
        <v>7</v>
      </c>
      <c r="C2" s="1" t="s">
        <v>8</v>
      </c>
      <c r="D2" s="3">
        <v>1.46</v>
      </c>
      <c r="E2">
        <v>11</v>
      </c>
      <c r="F2" s="2">
        <f>D2*E2</f>
        <v>16.059999999999999</v>
      </c>
      <c r="G2" t="s">
        <v>9</v>
      </c>
    </row>
    <row r="3" spans="1:7">
      <c r="A3" t="s">
        <v>10</v>
      </c>
      <c r="B3" t="s">
        <v>11</v>
      </c>
      <c r="C3" s="1" t="s">
        <v>12</v>
      </c>
      <c r="D3" s="3">
        <v>0.98899999999999999</v>
      </c>
      <c r="E3">
        <v>4</v>
      </c>
      <c r="F3" s="2">
        <f t="shared" ref="F3:F6" si="0">D3*E3</f>
        <v>3.956</v>
      </c>
      <c r="G3" t="s">
        <v>9</v>
      </c>
    </row>
    <row r="4" spans="1:7">
      <c r="A4" t="s">
        <v>13</v>
      </c>
      <c r="B4" t="s">
        <v>14</v>
      </c>
      <c r="C4" s="1" t="s">
        <v>15</v>
      </c>
      <c r="D4" s="3">
        <v>2.4500000000000002</v>
      </c>
      <c r="E4">
        <v>6</v>
      </c>
      <c r="F4" s="2">
        <f t="shared" si="0"/>
        <v>14.700000000000001</v>
      </c>
      <c r="G4" t="s">
        <v>9</v>
      </c>
    </row>
    <row r="5" spans="1:7">
      <c r="A5" t="s">
        <v>16</v>
      </c>
      <c r="B5" t="s">
        <v>17</v>
      </c>
      <c r="C5" s="1" t="s">
        <v>18</v>
      </c>
      <c r="D5" s="3">
        <v>0.308</v>
      </c>
      <c r="E5">
        <v>5</v>
      </c>
      <c r="F5" s="2">
        <f t="shared" si="0"/>
        <v>1.54</v>
      </c>
      <c r="G5" t="s">
        <v>9</v>
      </c>
    </row>
    <row r="6" spans="1:7">
      <c r="A6" s="4" t="s">
        <v>19</v>
      </c>
      <c r="B6" s="4" t="s">
        <v>20</v>
      </c>
      <c r="C6" s="5" t="s">
        <v>21</v>
      </c>
      <c r="D6" s="6">
        <v>3.98</v>
      </c>
      <c r="E6" s="4">
        <v>1</v>
      </c>
      <c r="F6" s="7">
        <f t="shared" si="0"/>
        <v>3.98</v>
      </c>
      <c r="G6" t="s">
        <v>9</v>
      </c>
    </row>
    <row r="7" spans="1:7">
      <c r="A7" s="4" t="s">
        <v>22</v>
      </c>
      <c r="B7" s="4" t="s">
        <v>23</v>
      </c>
      <c r="C7" s="5" t="s">
        <v>24</v>
      </c>
      <c r="D7" s="6">
        <v>6.24</v>
      </c>
      <c r="E7" s="4">
        <v>1</v>
      </c>
      <c r="F7" s="7">
        <f>D7*E7</f>
        <v>6.24</v>
      </c>
      <c r="G7" t="s">
        <v>9</v>
      </c>
    </row>
    <row r="8" spans="1:7">
      <c r="A8" t="s">
        <v>25</v>
      </c>
      <c r="B8" t="s">
        <v>26</v>
      </c>
      <c r="C8" s="1" t="s">
        <v>27</v>
      </c>
      <c r="D8" s="3">
        <v>0.35299999999999998</v>
      </c>
      <c r="E8">
        <v>5</v>
      </c>
      <c r="F8" s="2">
        <f>D8*E8</f>
        <v>1.7649999999999999</v>
      </c>
      <c r="G8" t="s">
        <v>9</v>
      </c>
    </row>
    <row r="9" spans="1:7">
      <c r="A9" t="s">
        <v>28</v>
      </c>
      <c r="B9" t="s">
        <v>29</v>
      </c>
      <c r="C9" s="1" t="s">
        <v>30</v>
      </c>
      <c r="D9" s="3">
        <v>0.67300000000000004</v>
      </c>
      <c r="E9">
        <v>2</v>
      </c>
      <c r="F9" s="2">
        <f>D9*E9</f>
        <v>1.3460000000000001</v>
      </c>
      <c r="G9" t="s">
        <v>9</v>
      </c>
    </row>
    <row r="10" spans="1:7">
      <c r="A10" t="s">
        <v>31</v>
      </c>
      <c r="B10" t="s">
        <v>32</v>
      </c>
      <c r="C10" s="1" t="s">
        <v>33</v>
      </c>
      <c r="D10" s="3">
        <v>0.51600000000000001</v>
      </c>
      <c r="E10">
        <v>4</v>
      </c>
      <c r="F10" s="2">
        <f>D10*E10</f>
        <v>2.0640000000000001</v>
      </c>
      <c r="G10" t="s">
        <v>9</v>
      </c>
    </row>
    <row r="11" spans="1:7">
      <c r="A11" t="s">
        <v>34</v>
      </c>
      <c r="B11" t="s">
        <v>35</v>
      </c>
      <c r="C11" s="1" t="s">
        <v>36</v>
      </c>
      <c r="D11" s="3">
        <v>9.4E-2</v>
      </c>
      <c r="E11">
        <v>5</v>
      </c>
      <c r="F11" s="2">
        <f>D11*E11</f>
        <v>0.47</v>
      </c>
      <c r="G11" t="s">
        <v>9</v>
      </c>
    </row>
    <row r="12" spans="1:7">
      <c r="A12" t="s">
        <v>37</v>
      </c>
      <c r="B12" t="s">
        <v>38</v>
      </c>
      <c r="C12" s="1" t="s">
        <v>39</v>
      </c>
      <c r="D12" s="3">
        <v>1.34</v>
      </c>
      <c r="E12">
        <v>3</v>
      </c>
      <c r="F12" s="2">
        <f>D12*E12</f>
        <v>4.0200000000000005</v>
      </c>
      <c r="G12" t="s">
        <v>9</v>
      </c>
    </row>
    <row r="13" spans="1:7">
      <c r="A13" t="s">
        <v>40</v>
      </c>
      <c r="B13" t="s">
        <v>41</v>
      </c>
      <c r="C13" s="1" t="s">
        <v>42</v>
      </c>
      <c r="D13" s="3">
        <v>0.36499999999999999</v>
      </c>
      <c r="E13">
        <v>5</v>
      </c>
      <c r="F13" s="2">
        <f t="shared" ref="F13:F15" si="1">D13*E13</f>
        <v>1.825</v>
      </c>
      <c r="G13" t="s">
        <v>9</v>
      </c>
    </row>
    <row r="14" spans="1:7">
      <c r="A14" t="s">
        <v>43</v>
      </c>
      <c r="B14" t="s">
        <v>44</v>
      </c>
      <c r="C14" s="1" t="s">
        <v>45</v>
      </c>
      <c r="D14" s="3">
        <v>1.27</v>
      </c>
      <c r="E14">
        <v>2</v>
      </c>
      <c r="F14" s="2">
        <f t="shared" si="1"/>
        <v>2.54</v>
      </c>
      <c r="G14" t="s">
        <v>9</v>
      </c>
    </row>
    <row r="15" spans="1:7">
      <c r="A15" t="s">
        <v>46</v>
      </c>
      <c r="B15" t="s">
        <v>47</v>
      </c>
      <c r="C15" s="1" t="s">
        <v>48</v>
      </c>
      <c r="D15" s="3">
        <v>2.2000000000000002</v>
      </c>
      <c r="E15">
        <v>2</v>
      </c>
      <c r="F15" s="2">
        <f t="shared" si="1"/>
        <v>4.4000000000000004</v>
      </c>
      <c r="G15" t="s">
        <v>9</v>
      </c>
    </row>
    <row r="16" spans="1:7">
      <c r="D16" s="3"/>
      <c r="F16" s="8">
        <f>SUM(F2:F15)</f>
        <v>64.906000000000006</v>
      </c>
      <c r="G16" t="s">
        <v>9</v>
      </c>
    </row>
    <row r="17" spans="4:6">
      <c r="D17" s="3"/>
      <c r="F17" s="2"/>
    </row>
    <row r="18" spans="4:6">
      <c r="D18" s="2"/>
      <c r="F18" s="2"/>
    </row>
    <row r="19" spans="4:6">
      <c r="D19" s="2"/>
      <c r="F19" s="2"/>
    </row>
    <row r="20" spans="4:6">
      <c r="D20" s="2"/>
      <c r="F20" s="2"/>
    </row>
    <row r="21" spans="4:6">
      <c r="D21" s="2"/>
      <c r="F21" s="2"/>
    </row>
    <row r="22" spans="4:6">
      <c r="D22" s="2"/>
      <c r="F22" s="2"/>
    </row>
    <row r="23" spans="4:6">
      <c r="D23" s="2"/>
      <c r="F23" s="2"/>
    </row>
    <row r="24" spans="4:6">
      <c r="D24" s="2"/>
      <c r="F24" s="2"/>
    </row>
    <row r="25" spans="4:6">
      <c r="D25" s="2"/>
      <c r="F25" s="2"/>
    </row>
    <row r="26" spans="4:6">
      <c r="D26" s="2"/>
      <c r="F26" s="2"/>
    </row>
    <row r="27" spans="4:6">
      <c r="D27" s="2"/>
      <c r="F27" s="2"/>
    </row>
    <row r="28" spans="4:6">
      <c r="D28" s="2"/>
    </row>
    <row r="29" spans="4:6">
      <c r="D29" s="2"/>
    </row>
    <row r="30" spans="4:6">
      <c r="D30" s="2"/>
    </row>
    <row r="31" spans="4:6">
      <c r="D31" s="2"/>
    </row>
    <row r="32" spans="4:6">
      <c r="D32" s="2"/>
    </row>
    <row r="33" spans="4:4">
      <c r="D33" s="2"/>
    </row>
  </sheetData>
  <hyperlinks>
    <hyperlink ref="C2" r:id="rId1" xr:uid="{31761AB8-3D78-4C08-AAB7-B1B624F5516A}"/>
    <hyperlink ref="C3" r:id="rId2" xr:uid="{3A4639E1-1788-47D0-951A-E9AB70D2B8C2}"/>
    <hyperlink ref="C4" r:id="rId3" xr:uid="{C1D6BB8F-4997-4BAB-AAF5-1A80B8A4920C}"/>
    <hyperlink ref="C5" r:id="rId4" xr:uid="{E25DB32F-C2B4-4B80-95CF-41BFB10D9A29}"/>
    <hyperlink ref="C6" r:id="rId5" xr:uid="{981F53E5-454B-47ED-8FCC-7BEEEA1E3208}"/>
    <hyperlink ref="C7" r:id="rId6" xr:uid="{8504C423-D584-468D-8814-CA8266AE4DD6}"/>
    <hyperlink ref="C8" r:id="rId7" xr:uid="{18941C4C-2CE0-4D1D-BC73-EEC23304FABC}"/>
    <hyperlink ref="C9" r:id="rId8" xr:uid="{7B889469-73B5-48BD-AB9F-B0E8D324F743}"/>
    <hyperlink ref="C10" r:id="rId9" xr:uid="{AE17DBB1-7AAC-4929-8A3D-DFEAF3ED0F2F}"/>
    <hyperlink ref="C11" r:id="rId10" xr:uid="{B58639FA-8A6B-4D3F-8892-98D6CD897662}"/>
    <hyperlink ref="C12" r:id="rId11" xr:uid="{2AB3FE37-A900-4C37-96E3-F2D321E450C5}"/>
    <hyperlink ref="C13" r:id="rId12" xr:uid="{AEE86DFC-B231-4D03-84CA-36120F849FA6}"/>
    <hyperlink ref="C14" r:id="rId13" xr:uid="{D38EE708-D0D4-43E2-8C5D-1BB0202F74A3}"/>
    <hyperlink ref="C15" r:id="rId14" xr:uid="{05738C82-B3E3-4702-A8B0-48134ECD764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2024-07-08T20:04:49Z</dcterms:created>
  <dcterms:modified xsi:type="dcterms:W3CDTF">2024-07-10T15:35:59Z</dcterms:modified>
  <cp:category/>
  <cp:contentStatus/>
</cp:coreProperties>
</file>